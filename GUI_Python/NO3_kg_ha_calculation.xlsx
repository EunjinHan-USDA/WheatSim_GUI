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SL_EJ\Irrigation_DST\Excel2Python\"/>
    </mc:Choice>
  </mc:AlternateContent>
  <xr:revisionPtr revIDLastSave="0" documentId="13_ncr:1_{928064C5-B6F8-4E4D-A26D-339F590C173A}" xr6:coauthVersionLast="47" xr6:coauthVersionMax="47" xr10:uidLastSave="{00000000-0000-0000-0000-000000000000}"/>
  <bookViews>
    <workbookView xWindow="12624" yWindow="6444" windowWidth="16032" windowHeight="9912" xr2:uid="{18498795-3FBD-4D2B-8C55-6071C7931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8" i="1"/>
  <c r="F12" i="1"/>
  <c r="F14" i="1"/>
  <c r="F13" i="1"/>
  <c r="F3" i="1"/>
  <c r="F4" i="1"/>
  <c r="F5" i="1"/>
  <c r="F6" i="1"/>
  <c r="F7" i="1"/>
  <c r="F2" i="1"/>
  <c r="E9" i="1"/>
  <c r="E18" i="1"/>
  <c r="E15" i="1"/>
  <c r="E16" i="1" s="1"/>
  <c r="E14" i="1"/>
  <c r="E13" i="1"/>
  <c r="E12" i="1"/>
  <c r="E7" i="1"/>
  <c r="E4" i="1"/>
  <c r="E5" i="1"/>
  <c r="E6" i="1"/>
  <c r="E3" i="1"/>
  <c r="E2" i="1"/>
  <c r="E8" i="1" l="1"/>
</calcChain>
</file>

<file path=xl/sharedStrings.xml><?xml version="1.0" encoding="utf-8"?>
<sst xmlns="http://schemas.openxmlformats.org/spreadsheetml/2006/main" count="25" uniqueCount="9">
  <si>
    <t>SoilFile</t>
  </si>
  <si>
    <t>Bottom depth</t>
  </si>
  <si>
    <t>NO3 (ppm)</t>
  </si>
  <si>
    <t>103.soi</t>
  </si>
  <si>
    <t>BD[g/cm3]</t>
  </si>
  <si>
    <t>sum</t>
  </si>
  <si>
    <t>Proj_NE_soil</t>
  </si>
  <si>
    <t>NO3-N [kg/ha]</t>
  </si>
  <si>
    <t>NO3[kg/ha]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</si>
</sst>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1" xfId="0" applyNumberFormat="1" applyBorder="1"/>
    <xf numFmtId="0" fontId="0" fillId="3" borderId="0" xfId="0" applyFill="1"/>
    <xf numFmtId="2" fontId="0" fillId="3" borderId="0" xfId="0" applyNumberFormat="1" applyFill="1"/>
    <xf numFmtId="2" fontId="0" fillId="0" borderId="2" xfId="0" applyNumberFormat="1" applyBorder="1"/>
    <xf numFmtId="0" fontId="1" fillId="0" borderId="1" xfId="0" applyFont="1" applyBorder="1"/>
    <xf numFmtId="0" fontId="0" fillId="0" borderId="0" xfId="0" applyFill="1"/>
    <xf numFmtId="0" fontId="0" fillId="0" borderId="0" xfId="0" applyFill="1" applyAlignment="1">
      <alignment horizontal="right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544646</xdr:colOff>
      <xdr:row>0</xdr:row>
      <xdr:rowOff>83820</xdr:rowOff>
    </xdr:from>
    <xdr:to>
      <xdr:col>13</xdr:col>
      <xdr:colOff>457942</xdr:colOff>
      <xdr:row>19</xdr:row>
      <xdr:rowOff>153029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192D7-FD7E-E693-B43B-AB69FF7EE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8966" y="83820"/>
          <a:ext cx="4180496" cy="3543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3953-358A-4283-B769-93088457E99E}">
  <dimension ref="A1:F18"/>
  <sheetViews>
    <sheetView tabSelected="1" workbookViewId="0">
      <selection activeCell="F7" sqref="F7"/>
    </sheetView>
  </sheetViews>
  <sheetFormatPr defaultRowHeight="14.4" x14ac:dyDescent="0.3"/>
  <cols>
    <col min="1" max="1" width="10.88671875" bestFit="1" customWidth="1"/>
    <col min="2" max="2" width="11.6640625" bestFit="1" customWidth="1"/>
    <col min="3" max="3" width="9.6640625" bestFit="1" customWidth="1"/>
    <col min="4" max="4" width="9.5546875" bestFit="1" customWidth="1"/>
    <col min="5" max="5" width="12" bestFit="1" customWidth="1"/>
    <col min="6" max="6" width="12.5546875" bestFit="1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9" t="s">
        <v>7</v>
      </c>
    </row>
    <row r="2" spans="1:6" x14ac:dyDescent="0.3">
      <c r="A2" s="2" t="s">
        <v>3</v>
      </c>
      <c r="B2" s="2">
        <v>5</v>
      </c>
      <c r="C2" s="2">
        <v>4.4450000000000003</v>
      </c>
      <c r="D2" s="2">
        <v>1.27</v>
      </c>
      <c r="E2" s="8">
        <f>C2*D2*B2/10</f>
        <v>2.8225750000000001</v>
      </c>
      <c r="F2" s="5">
        <f>E2*14/62</f>
        <v>0.63735564516129029</v>
      </c>
    </row>
    <row r="3" spans="1:6" x14ac:dyDescent="0.3">
      <c r="A3" s="2" t="s">
        <v>3</v>
      </c>
      <c r="B3" s="2">
        <v>10</v>
      </c>
      <c r="C3" s="2">
        <v>3.4499999999999997</v>
      </c>
      <c r="D3" s="2">
        <v>1.33</v>
      </c>
      <c r="E3" s="8">
        <f>C3*D3*(B3-B2)/10</f>
        <v>2.2942499999999999</v>
      </c>
      <c r="F3" s="5">
        <f t="shared" ref="F3:F7" si="0">E3*14/62</f>
        <v>0.51805645161290326</v>
      </c>
    </row>
    <row r="4" spans="1:6" x14ac:dyDescent="0.3">
      <c r="A4" s="2" t="s">
        <v>3</v>
      </c>
      <c r="B4" s="2">
        <v>22.5</v>
      </c>
      <c r="C4" s="2">
        <v>4.585</v>
      </c>
      <c r="D4" s="2">
        <v>1.41</v>
      </c>
      <c r="E4" s="8">
        <f t="shared" ref="E4:E6" si="1">C4*D4*(B4-B3)/10</f>
        <v>8.081062499999998</v>
      </c>
      <c r="F4" s="5">
        <f t="shared" si="0"/>
        <v>1.8247560483870962</v>
      </c>
    </row>
    <row r="5" spans="1:6" x14ac:dyDescent="0.3">
      <c r="A5" s="2" t="s">
        <v>3</v>
      </c>
      <c r="B5" s="2">
        <v>30</v>
      </c>
      <c r="C5" s="2">
        <v>2.64</v>
      </c>
      <c r="D5" s="2">
        <v>1.5</v>
      </c>
      <c r="E5" s="8">
        <f t="shared" si="1"/>
        <v>2.9699999999999998</v>
      </c>
      <c r="F5" s="5">
        <f t="shared" si="0"/>
        <v>0.67064516129032259</v>
      </c>
    </row>
    <row r="6" spans="1:6" x14ac:dyDescent="0.3">
      <c r="A6" s="2" t="s">
        <v>3</v>
      </c>
      <c r="B6" s="2">
        <v>60</v>
      </c>
      <c r="C6" s="2">
        <v>2.0549999999999997</v>
      </c>
      <c r="D6" s="2">
        <v>1.56</v>
      </c>
      <c r="E6" s="8">
        <f t="shared" si="1"/>
        <v>9.6173999999999999</v>
      </c>
      <c r="F6" s="5">
        <f t="shared" si="0"/>
        <v>2.1716709677419352</v>
      </c>
    </row>
    <row r="7" spans="1:6" x14ac:dyDescent="0.3">
      <c r="A7" s="2" t="s">
        <v>3</v>
      </c>
      <c r="B7" s="2">
        <v>100</v>
      </c>
      <c r="C7" s="2">
        <v>1.2350000000000001</v>
      </c>
      <c r="D7" s="2">
        <v>1.51</v>
      </c>
      <c r="E7" s="8">
        <f>C7*D7*(B7-B6)/10</f>
        <v>7.4594000000000005</v>
      </c>
      <c r="F7" s="5">
        <f t="shared" si="0"/>
        <v>1.6843806451612904</v>
      </c>
    </row>
    <row r="8" spans="1:6" x14ac:dyDescent="0.3">
      <c r="D8" s="4" t="s">
        <v>5</v>
      </c>
      <c r="E8" s="3">
        <f>SUM(E2:E7)</f>
        <v>33.244687499999998</v>
      </c>
      <c r="F8" s="3">
        <f>SUM(F2:F7)</f>
        <v>7.5068649193548387</v>
      </c>
    </row>
    <row r="9" spans="1:6" x14ac:dyDescent="0.3">
      <c r="E9" s="7">
        <f>E8*14/62</f>
        <v>7.5068649193548378</v>
      </c>
      <c r="F9" s="6" t="s">
        <v>7</v>
      </c>
    </row>
    <row r="11" spans="1:6" x14ac:dyDescent="0.3">
      <c r="A11" t="s">
        <v>0</v>
      </c>
      <c r="B11" s="1" t="s">
        <v>1</v>
      </c>
      <c r="C11" s="1" t="s">
        <v>2</v>
      </c>
      <c r="D11" s="1" t="s">
        <v>4</v>
      </c>
      <c r="E11" s="1" t="s">
        <v>8</v>
      </c>
      <c r="F11" s="9" t="s">
        <v>7</v>
      </c>
    </row>
    <row r="12" spans="1:6" x14ac:dyDescent="0.3">
      <c r="A12" s="2" t="s">
        <v>6</v>
      </c>
      <c r="B12" s="2">
        <v>30</v>
      </c>
      <c r="C12" s="2">
        <v>25</v>
      </c>
      <c r="D12" s="2">
        <v>0.97299999999999998</v>
      </c>
      <c r="E12" s="5">
        <f>C12*D12*B12/10</f>
        <v>72.974999999999994</v>
      </c>
      <c r="F12" s="5">
        <f>E12*14/62</f>
        <v>16.478225806451611</v>
      </c>
    </row>
    <row r="13" spans="1:6" x14ac:dyDescent="0.3">
      <c r="A13" s="2" t="s">
        <v>6</v>
      </c>
      <c r="B13" s="2">
        <v>46</v>
      </c>
      <c r="C13" s="2">
        <v>25</v>
      </c>
      <c r="D13" s="2">
        <v>1.018</v>
      </c>
      <c r="E13" s="5">
        <f>C13*D13*(B13-B12)/10</f>
        <v>40.72</v>
      </c>
      <c r="F13" s="5">
        <f t="shared" ref="F13:F14" si="2">E13*14/62</f>
        <v>9.194838709677418</v>
      </c>
    </row>
    <row r="14" spans="1:6" x14ac:dyDescent="0.3">
      <c r="A14" s="2" t="s">
        <v>6</v>
      </c>
      <c r="B14" s="2">
        <v>200</v>
      </c>
      <c r="C14" s="2">
        <v>25</v>
      </c>
      <c r="D14" s="2">
        <v>1.157</v>
      </c>
      <c r="E14" s="5">
        <f>C14*D14*(B14-B13)/10</f>
        <v>445.44499999999999</v>
      </c>
      <c r="F14" s="5">
        <f t="shared" si="2"/>
        <v>100.58435483870967</v>
      </c>
    </row>
    <row r="15" spans="1:6" s="10" customFormat="1" x14ac:dyDescent="0.3">
      <c r="D15" s="11" t="s">
        <v>5</v>
      </c>
      <c r="E15" s="12">
        <f>SUM(E12:E14)</f>
        <v>559.14</v>
      </c>
      <c r="F15" s="3">
        <f>SUM(F9:F14)</f>
        <v>126.2574193548387</v>
      </c>
    </row>
    <row r="16" spans="1:6" x14ac:dyDescent="0.3">
      <c r="E16" s="7">
        <f>E15*14/62</f>
        <v>126.25741935483872</v>
      </c>
      <c r="F16" s="6" t="s">
        <v>7</v>
      </c>
    </row>
    <row r="18" spans="5:5" x14ac:dyDescent="0.3">
      <c r="E18">
        <f>14/62</f>
        <v>0.22580645161290322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Eunjin - REE-ARS</dc:creator>
  <cp:lastModifiedBy>Han, Eunjin - REE-ARS</cp:lastModifiedBy>
  <dcterms:created xsi:type="dcterms:W3CDTF">2026-04-01T23:42:53Z</dcterms:created>
  <dcterms:modified xsi:type="dcterms:W3CDTF">2026-04-02T00:32:56Z</dcterms:modified>
</cp:coreProperties>
</file>